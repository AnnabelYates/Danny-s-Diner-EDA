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nab\OneDrive\Documents\Project Portfolio\"/>
    </mc:Choice>
  </mc:AlternateContent>
  <xr:revisionPtr revIDLastSave="0" documentId="8_{3E1D750D-FE14-4329-96EE-0D68B9A8C324}" xr6:coauthVersionLast="47" xr6:coauthVersionMax="47" xr10:uidLastSave="{00000000-0000-0000-0000-000000000000}"/>
  <bookViews>
    <workbookView xWindow="-108" yWindow="-108" windowWidth="23256" windowHeight="12456" xr2:uid="{0098A0E5-1B07-4426-9AEE-4942941A87F0}"/>
  </bookViews>
  <sheets>
    <sheet name="Sales Database" sheetId="1" r:id="rId1"/>
    <sheet name="Menu" sheetId="2" r:id="rId2"/>
    <sheet name="Member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E4" i="1"/>
  <c r="H2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</calcChain>
</file>

<file path=xl/sharedStrings.xml><?xml version="1.0" encoding="utf-8"?>
<sst xmlns="http://schemas.openxmlformats.org/spreadsheetml/2006/main" count="46" uniqueCount="15">
  <si>
    <t>A</t>
  </si>
  <si>
    <t>B</t>
  </si>
  <si>
    <t>C</t>
  </si>
  <si>
    <t>sushi</t>
  </si>
  <si>
    <t>curry</t>
  </si>
  <si>
    <t>ramen</t>
  </si>
  <si>
    <t>Customer ID</t>
  </si>
  <si>
    <t>Member</t>
  </si>
  <si>
    <t>Price</t>
  </si>
  <si>
    <t>Product</t>
  </si>
  <si>
    <t>Customer Id</t>
  </si>
  <si>
    <t>Join Date</t>
  </si>
  <si>
    <t>Order Date</t>
  </si>
  <si>
    <t>Directory of Members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</si>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</sst>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 tint="4.9989318521683403E-2"/>
      <name val="Calibri Light"/>
      <family val="2"/>
      <scheme val="major"/>
    </font>
    <font>
      <b/>
      <i/>
      <sz val="28"/>
      <color theme="1"/>
      <name val="Calibri"/>
      <family val="2"/>
      <scheme val="minor"/>
    </font>
    <font>
      <b/>
      <sz val="11"/>
      <name val="Inherit"/>
    </font>
    <font>
      <sz val="1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1E5"/>
        <bgColor indexed="64"/>
      </patternFill>
    </fill>
    <fill>
      <patternFill patternType="solid">
        <fgColor rgb="FFFFEFF1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0" applyFont="1"/>
    <xf numFmtId="0" fontId="6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3" fillId="2" borderId="0" xfId="0" applyFont="1" applyFill="1" applyAlignment="1">
      <alignment horizontal="right" vertical="center" indent="1"/>
    </xf>
    <xf numFmtId="14" fontId="3" fillId="2" borderId="0" xfId="0" applyNumberFormat="1" applyFont="1" applyFill="1" applyAlignment="1">
      <alignment horizontal="right" vertical="center" indent="1"/>
    </xf>
    <xf numFmtId="0" fontId="3" fillId="3" borderId="0" xfId="0" applyFont="1" applyFill="1" applyAlignment="1">
      <alignment horizontal="right" vertical="center" indent="1"/>
    </xf>
    <xf numFmtId="14" fontId="3" fillId="3" borderId="0" xfId="0" applyNumberFormat="1" applyFont="1" applyFill="1" applyAlignment="1">
      <alignment horizontal="right" vertical="center" indent="1"/>
    </xf>
    <xf numFmtId="0" fontId="10" fillId="5" borderId="0" xfId="0" applyFont="1" applyFill="1" applyAlignment="1">
      <alignment horizontal="center" vertical="center"/>
    </xf>
    <xf numFmtId="164" fontId="10" fillId="5" borderId="0" xfId="1" applyNumberFormat="1" applyFont="1" applyFill="1" applyBorder="1" applyAlignment="1">
      <alignment horizontal="center" vertical="center"/>
    </xf>
    <xf numFmtId="0" fontId="0" fillId="6" borderId="9" xfId="0" applyFill="1" applyBorder="1"/>
    <xf numFmtId="0" fontId="0" fillId="6" borderId="10" xfId="0" applyFill="1" applyBorder="1"/>
    <xf numFmtId="0" fontId="9" fillId="4" borderId="7" xfId="0" applyFont="1" applyFill="1" applyBorder="1" applyAlignment="1">
      <alignment horizontal="center" vertical="center"/>
    </xf>
    <xf numFmtId="0" fontId="0" fillId="0" borderId="11" xfId="0" applyBorder="1"/>
    <xf numFmtId="0" fontId="4" fillId="0" borderId="4" xfId="0" applyFont="1" applyBorder="1"/>
    <xf numFmtId="0" fontId="4" fillId="0" borderId="0" xfId="0" applyFont="1" applyAlignment="1">
      <alignment horizontal="center" vertical="center"/>
    </xf>
    <xf numFmtId="0" fontId="4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3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/>
    </xf>
    <xf numFmtId="0" fontId="2" fillId="0" borderId="0" xfId="0" applyFont="1"/>
    <xf numFmtId="0" fontId="2" fillId="0" borderId="12" xfId="0" applyFont="1" applyBorder="1"/>
    <xf numFmtId="164" fontId="2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5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1" justifyLastLine="0" shrinkToFit="0" readingOrder="0"/>
    </dxf>
    <dxf>
      <border>
        <top style="medium">
          <color rgb="FFCCCCCC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4.9989318521683403E-2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numFmt numFmtId="164" formatCode="&quot;$&quot;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Inheri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EFF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rgb="FFFFEFF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m/d/yyyy"/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theme="1"/>
        </left>
        <right/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border>
        <top style="medium">
          <color theme="1"/>
        </top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colors>
    <mruColors>
      <color rgb="FFFFEFF1"/>
      <color rgb="FFFFE1E5"/>
      <color rgb="FFFFE1EA"/>
      <color rgb="FFFFE1EF"/>
      <color rgb="FFFFE1E3"/>
      <color rgb="FFFE9CA3"/>
      <color rgb="FFFEE2EB"/>
      <color rgb="FFFEE2EF"/>
      <color rgb="FFFEE6F1"/>
      <color rgb="FFFEE2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0</xdr:row>
      <xdr:rowOff>68580</xdr:rowOff>
    </xdr:from>
    <xdr:to>
      <xdr:col>7</xdr:col>
      <xdr:colOff>3307080</xdr:colOff>
      <xdr:row>1</xdr:row>
      <xdr:rowOff>2202180</xdr:rowOff>
    </xdr:to>
    <xdr:sp macro="" textlink="">
      <xdr:nvSpPr>
        <xdr:cNvPr id="6" name="Star: 5 Points 5">
          <a:extLst>
            <a:ext uri="{FF2B5EF4-FFF2-40B4-BE49-F238E27FC236}">
              <a16:creationId xmlns:a16="http://schemas.microsoft.com/office/drawing/2014/main" id="{C9722C64-ACBA-B3C3-437B-DB3238A6A0BF}"/>
            </a:ext>
          </a:extLst>
        </xdr:cNvPr>
        <xdr:cNvSpPr/>
      </xdr:nvSpPr>
      <xdr:spPr>
        <a:xfrm>
          <a:off x="7688580" y="68580"/>
          <a:ext cx="2979420" cy="2278380"/>
        </a:xfrm>
        <a:prstGeom prst="star5">
          <a:avLst/>
        </a:prstGeom>
        <a:noFill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1"/>
              </a:solidFill>
            </a:rPr>
            <a:t>Total</a:t>
          </a:r>
          <a:r>
            <a:rPr lang="en-US" sz="1600" b="1" baseline="0">
              <a:solidFill>
                <a:schemeClr val="tx1"/>
              </a:solidFill>
            </a:rPr>
            <a:t> Sales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251459</xdr:colOff>
      <xdr:row>1</xdr:row>
      <xdr:rowOff>190500</xdr:rowOff>
    </xdr:from>
    <xdr:to>
      <xdr:col>2</xdr:col>
      <xdr:colOff>1247372</xdr:colOff>
      <xdr:row>1</xdr:row>
      <xdr:rowOff>2446020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3B953-55E9-4DC0-B6A0-6987E2A18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79" y="335280"/>
          <a:ext cx="2573253" cy="2255520"/>
        </a:xfrm>
        <a:prstGeom prst="rect">
          <a:avLst/>
        </a:prstGeom>
      </xdr:spPr>
    </xdr:pic>
    <xdr:clientData/>
  </xdr:twoCellAnchor>
  <xdr:oneCellAnchor>
    <xdr:from>
      <xdr:col>3</xdr:col>
      <xdr:colOff>487679</xdr:colOff>
      <xdr:row>1</xdr:row>
      <xdr:rowOff>281940</xdr:rowOff>
    </xdr:from>
    <xdr:ext cx="2552701" cy="121943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99B162-4C3B-FEFC-AAC6-41DA499D79A2}"/>
            </a:ext>
          </a:extLst>
        </xdr:cNvPr>
        <xdr:cNvSpPr/>
      </xdr:nvSpPr>
      <xdr:spPr>
        <a:xfrm>
          <a:off x="3718559" y="426720"/>
          <a:ext cx="2552701" cy="121943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72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Sales</a:t>
          </a:r>
        </a:p>
      </xdr:txBody>
    </xdr:sp>
    <xdr:clientData/>
  </xdr:oneCellAnchor>
  <xdr:twoCellAnchor>
    <xdr:from>
      <xdr:col>3</xdr:col>
      <xdr:colOff>373380</xdr:colOff>
      <xdr:row>1</xdr:row>
      <xdr:rowOff>1562100</xdr:rowOff>
    </xdr:from>
    <xdr:to>
      <xdr:col>5</xdr:col>
      <xdr:colOff>601980</xdr:colOff>
      <xdr:row>1</xdr:row>
      <xdr:rowOff>2293620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48EDB87-55C3-1DDF-9EFD-6443B1E22CC0}"/>
            </a:ext>
          </a:extLst>
        </xdr:cNvPr>
        <xdr:cNvSpPr/>
      </xdr:nvSpPr>
      <xdr:spPr>
        <a:xfrm>
          <a:off x="3604260" y="1706880"/>
          <a:ext cx="2788920" cy="731520"/>
        </a:xfrm>
        <a:prstGeom prst="roundRect">
          <a:avLst/>
        </a:prstGeom>
        <a:solidFill>
          <a:srgbClr val="FFEFF1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Enter customer ID</a:t>
          </a:r>
          <a:r>
            <a:rPr lang="en-US" sz="1200" baseline="0">
              <a:solidFill>
                <a:schemeClr val="tx1"/>
              </a:solidFill>
            </a:rPr>
            <a:t>, order date and product. Sales and member information will automatically update. 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26040</xdr:colOff>
      <xdr:row>1</xdr:row>
      <xdr:rowOff>297180</xdr:rowOff>
    </xdr:from>
    <xdr:to>
      <xdr:col>3</xdr:col>
      <xdr:colOff>45720</xdr:colOff>
      <xdr:row>2</xdr:row>
      <xdr:rowOff>2170537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E954B8-0B51-4505-8A22-1E4F874FB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560" y="548640"/>
          <a:ext cx="2580000" cy="2201017"/>
        </a:xfrm>
        <a:prstGeom prst="rect">
          <a:avLst/>
        </a:prstGeom>
      </xdr:spPr>
    </xdr:pic>
    <xdr:clientData/>
  </xdr:twoCellAnchor>
  <xdr:oneCellAnchor>
    <xdr:from>
      <xdr:col>3</xdr:col>
      <xdr:colOff>110661</xdr:colOff>
      <xdr:row>2</xdr:row>
      <xdr:rowOff>617035</xdr:rowOff>
    </xdr:from>
    <xdr:ext cx="1710519" cy="8437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2D0BF65-2AD6-33EE-B871-901D0D6B4EC8}"/>
            </a:ext>
          </a:extLst>
        </xdr:cNvPr>
        <xdr:cNvSpPr/>
      </xdr:nvSpPr>
      <xdr:spPr>
        <a:xfrm>
          <a:off x="3402501" y="1196155"/>
          <a:ext cx="1710519" cy="8437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8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Menu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121920</xdr:colOff>
      <xdr:row>1</xdr:row>
      <xdr:rowOff>38101</xdr:rowOff>
    </xdr:from>
    <xdr:ext cx="5128260" cy="112550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14BDCC-5294-4FB2-BB9D-C9C5A897EBF8}"/>
            </a:ext>
          </a:extLst>
        </xdr:cNvPr>
        <xdr:cNvSpPr/>
      </xdr:nvSpPr>
      <xdr:spPr>
        <a:xfrm>
          <a:off x="358140" y="228601"/>
          <a:ext cx="5128260" cy="112550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66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Danny's</a:t>
          </a:r>
          <a:r>
            <a:rPr lang="en-US" sz="6600" b="1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 Diner</a:t>
          </a:r>
          <a:endParaRPr lang="en-US" sz="6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F5EB79-5A7C-46B7-82B1-B678DC176FD7}" name="Sales" displayName="Sales" ref="B3:F18" headerRowDxfId="24" dataDxfId="23" totalsRowDxfId="22" totalsRowBorderDxfId="21">
  <autoFilter ref="B3:F18" xr:uid="{7CF5EB79-5A7C-46B7-82B1-B678DC176FD7}"/>
  <sortState xmlns:xlrd2="http://schemas.microsoft.com/office/spreadsheetml/2017/richdata2" ref="B4:F18">
    <sortCondition ref="C3:C18"/>
  </sortState>
  <tableColumns count="5">
    <tableColumn id="1" xr3:uid="{8BEACD44-259B-4B0F-9C99-01108FA124C4}" name="Customer ID" totalsRowLabel="Sales Total" dataDxfId="20" totalsRowDxfId="19"/>
    <tableColumn id="2" xr3:uid="{53BE48F4-D2BC-4ACE-8404-CB03F437AF6E}" name="Order Date" dataDxfId="18" totalsRowDxfId="17"/>
    <tableColumn id="3" xr3:uid="{C81DD1D4-6B67-441E-8E50-C1B5EA6D80E5}" name="Product" dataDxfId="16" totalsRowDxfId="15"/>
    <tableColumn id="4" xr3:uid="{DE6AF6EF-4ED6-420C-B3AB-28DB8E6D026A}" name="Price" totalsRowFunction="custom" dataDxfId="14" totalsRowDxfId="13">
      <calculatedColumnFormula>VLOOKUP(Sales[[#This Row],[Product]],Menu[],2)</calculatedColumnFormula>
      <totalsRowFormula>SUM(Sales[Price])</totalsRowFormula>
    </tableColumn>
    <tableColumn id="5" xr3:uid="{BBB65D52-1C2D-47B9-B66A-74DEE4B3DF0E}" name="Member" dataDxfId="12">
      <calculatedColumnFormula>_xlfn.IFNA(IF(VLOOKUP(Sales[[#This Row],[Customer ID]], Members[], 1, FALSE) = Sales[[#This Row],[Customer ID]], IF(Sales[[#This Row],[Order Date]] &gt;= VLOOKUP(Sales[[#This Row],[Customer ID]], Members[], 2, FALSE), "Y", "N"), "N"), "N")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869407-BCA9-4EFA-9651-B995253DAC6A}" name="Menu" displayName="Menu" ref="C5:D8" totalsRowShown="0" headerRowDxfId="11" dataDxfId="9" headerRowBorderDxfId="10">
  <autoFilter ref="C5:D8" xr:uid="{8D869407-BCA9-4EFA-9651-B995253DAC6A}"/>
  <sortState xmlns:xlrd2="http://schemas.microsoft.com/office/spreadsheetml/2017/richdata2" ref="C6:D8">
    <sortCondition ref="C5:C8"/>
  </sortState>
  <tableColumns count="2">
    <tableColumn id="2" xr3:uid="{9943ACA7-8416-44F2-A4C9-9C6EF42ACAB7}" name="Product" dataDxfId="8"/>
    <tableColumn id="3" xr3:uid="{53C2415E-FA91-43E2-96CC-22C8B4C0E6FB}" name="Price" dataDxfId="7" dataCellStyle="Currency"/>
  </tableColumns>
  <tableStyleInfo name="TableStyleMedium1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F479E6-FBF7-4EB4-82BB-8011856569A7}" name="Members" displayName="Members" ref="B4:C6" totalsRowShown="0" headerRowDxfId="6" dataDxfId="4" headerRowBorderDxfId="5" tableBorderDxfId="3" totalsRowBorderDxfId="2">
  <autoFilter ref="B4:C6" xr:uid="{71F479E6-FBF7-4EB4-82BB-8011856569A7}"/>
  <tableColumns count="2">
    <tableColumn id="1" xr3:uid="{7A8AC00B-FF42-46C7-A12E-0A2FB29DD923}" name="Customer Id" dataDxfId="1"/>
    <tableColumn id="2" xr3:uid="{B00BE6CA-EBED-4EB9-B434-D5E7F9AC91BC}" name="Join 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81EB-57E4-4EA4-91CE-3201FEFE89D3}">
  <sheetPr codeName="Sheet2"/>
  <dimension ref="A1:H18"/>
  <sheetViews>
    <sheetView showGridLines="0" tabSelected="1" workbookViewId="0">
      <selection activeCell="H5" sqref="H5"/>
    </sheetView>
  </sheetViews>
  <sheetFormatPr defaultRowHeight="18"/>
  <cols>
    <col min="1" max="1" width="1.77734375" style="36" customWidth="1"/>
    <col min="2" max="2" width="23" style="4" customWidth="1"/>
    <col min="3" max="3" width="22.33203125" style="3" customWidth="1"/>
    <col min="4" max="4" width="19" style="36" customWidth="1"/>
    <col min="5" max="5" width="18.33203125" style="38" customWidth="1"/>
    <col min="6" max="6" width="18.33203125" style="4" customWidth="1"/>
    <col min="7" max="7" width="4.5546875" style="36" customWidth="1"/>
    <col min="8" max="8" width="53" style="36" customWidth="1"/>
    <col min="9" max="16384" width="8.88671875" style="36"/>
  </cols>
  <sheetData>
    <row r="1" spans="1:8" s="37" customFormat="1" ht="11.4" customHeight="1">
      <c r="A1" s="36"/>
      <c r="B1" s="4"/>
      <c r="C1" s="3"/>
      <c r="D1" s="36"/>
      <c r="E1" s="38"/>
      <c r="F1" s="4"/>
    </row>
    <row r="2" spans="1:8" ht="207" customHeight="1">
      <c r="B2" s="30"/>
      <c r="C2" s="31"/>
      <c r="D2" s="32"/>
      <c r="E2" s="33"/>
      <c r="F2" s="34"/>
      <c r="H2" s="38">
        <f>SUM(Sales[Price])</f>
        <v>186</v>
      </c>
    </row>
    <row r="3" spans="1:8" ht="26.4" customHeight="1">
      <c r="B3" s="7" t="s">
        <v>6</v>
      </c>
      <c r="C3" s="6" t="s">
        <v>12</v>
      </c>
      <c r="D3" s="7" t="s">
        <v>9</v>
      </c>
      <c r="E3" s="8" t="s">
        <v>8</v>
      </c>
      <c r="F3" s="7" t="s">
        <v>7</v>
      </c>
    </row>
    <row r="4" spans="1:8">
      <c r="B4" s="5" t="s">
        <v>0</v>
      </c>
      <c r="C4" s="3">
        <v>44197</v>
      </c>
      <c r="D4" s="4" t="s">
        <v>4</v>
      </c>
      <c r="E4" s="35">
        <f>VLOOKUP(Sales[[#This Row],[Product]],Menu[],2)</f>
        <v>15</v>
      </c>
      <c r="F4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N</v>
      </c>
    </row>
    <row r="5" spans="1:8">
      <c r="B5" s="5" t="s">
        <v>1</v>
      </c>
      <c r="C5" s="3">
        <v>44197</v>
      </c>
      <c r="D5" s="4" t="s">
        <v>4</v>
      </c>
      <c r="E5" s="35">
        <f>VLOOKUP(Sales[[#This Row],[Product]],Menu[],2)</f>
        <v>15</v>
      </c>
      <c r="F5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N</v>
      </c>
      <c r="H5"/>
    </row>
    <row r="6" spans="1:8">
      <c r="B6" s="5" t="s">
        <v>2</v>
      </c>
      <c r="C6" s="3">
        <v>44197</v>
      </c>
      <c r="D6" s="4" t="s">
        <v>5</v>
      </c>
      <c r="E6" s="35">
        <f>VLOOKUP(Sales[[#This Row],[Product]],Menu[],2)</f>
        <v>12</v>
      </c>
      <c r="F6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N</v>
      </c>
    </row>
    <row r="7" spans="1:8">
      <c r="B7" s="5" t="s">
        <v>2</v>
      </c>
      <c r="C7" s="3">
        <v>44197</v>
      </c>
      <c r="D7" s="4" t="s">
        <v>5</v>
      </c>
      <c r="E7" s="35">
        <f>VLOOKUP(Sales[[#This Row],[Product]],Menu[],2)</f>
        <v>12</v>
      </c>
      <c r="F7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N</v>
      </c>
    </row>
    <row r="8" spans="1:8">
      <c r="B8" s="5" t="s">
        <v>0</v>
      </c>
      <c r="C8" s="3">
        <v>44197</v>
      </c>
      <c r="D8" s="4" t="s">
        <v>3</v>
      </c>
      <c r="E8" s="35">
        <f>VLOOKUP(Sales[[#This Row],[Product]],Menu[],2)</f>
        <v>10</v>
      </c>
      <c r="F8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N</v>
      </c>
    </row>
    <row r="9" spans="1:8">
      <c r="B9" s="5" t="s">
        <v>1</v>
      </c>
      <c r="C9" s="3">
        <v>44198</v>
      </c>
      <c r="D9" s="4" t="s">
        <v>4</v>
      </c>
      <c r="E9" s="35">
        <f>VLOOKUP(Sales[[#This Row],[Product]],Menu[],2)</f>
        <v>15</v>
      </c>
      <c r="F9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N</v>
      </c>
    </row>
    <row r="10" spans="1:8">
      <c r="B10" s="5" t="s">
        <v>1</v>
      </c>
      <c r="C10" s="3">
        <v>44200</v>
      </c>
      <c r="D10" s="4" t="s">
        <v>3</v>
      </c>
      <c r="E10" s="35">
        <f>VLOOKUP(Sales[[#This Row],[Product]],Menu[],2)</f>
        <v>10</v>
      </c>
      <c r="F10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N</v>
      </c>
    </row>
    <row r="11" spans="1:8">
      <c r="B11" s="5" t="s">
        <v>0</v>
      </c>
      <c r="C11" s="3">
        <v>44203</v>
      </c>
      <c r="D11" s="4" t="s">
        <v>4</v>
      </c>
      <c r="E11" s="35">
        <f>VLOOKUP(Sales[[#This Row],[Product]],Menu[],2)</f>
        <v>15</v>
      </c>
      <c r="F11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Y</v>
      </c>
    </row>
    <row r="12" spans="1:8">
      <c r="B12" s="5" t="s">
        <v>2</v>
      </c>
      <c r="C12" s="3">
        <v>44203</v>
      </c>
      <c r="D12" s="4" t="s">
        <v>5</v>
      </c>
      <c r="E12" s="35">
        <f>VLOOKUP(Sales[[#This Row],[Product]],Menu[],2)</f>
        <v>12</v>
      </c>
      <c r="F12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N</v>
      </c>
    </row>
    <row r="13" spans="1:8">
      <c r="B13" s="5" t="s">
        <v>0</v>
      </c>
      <c r="C13" s="3">
        <v>44206</v>
      </c>
      <c r="D13" s="4" t="s">
        <v>5</v>
      </c>
      <c r="E13" s="35">
        <f>VLOOKUP(Sales[[#This Row],[Product]],Menu[],2)</f>
        <v>12</v>
      </c>
      <c r="F13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Y</v>
      </c>
    </row>
    <row r="14" spans="1:8">
      <c r="B14" s="5" t="s">
        <v>0</v>
      </c>
      <c r="C14" s="3">
        <v>44207</v>
      </c>
      <c r="D14" s="4" t="s">
        <v>5</v>
      </c>
      <c r="E14" s="35">
        <f>VLOOKUP(Sales[[#This Row],[Product]],Menu[],2)</f>
        <v>12</v>
      </c>
      <c r="F14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Y</v>
      </c>
    </row>
    <row r="15" spans="1:8">
      <c r="B15" s="5" t="s">
        <v>0</v>
      </c>
      <c r="C15" s="3">
        <v>44207</v>
      </c>
      <c r="D15" s="4" t="s">
        <v>5</v>
      </c>
      <c r="E15" s="35">
        <f>VLOOKUP(Sales[[#This Row],[Product]],Menu[],2)</f>
        <v>12</v>
      </c>
      <c r="F15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Y</v>
      </c>
    </row>
    <row r="16" spans="1:8">
      <c r="B16" s="5" t="s">
        <v>1</v>
      </c>
      <c r="C16" s="3">
        <v>44207</v>
      </c>
      <c r="D16" s="4" t="s">
        <v>3</v>
      </c>
      <c r="E16" s="35">
        <f>VLOOKUP(Sales[[#This Row],[Product]],Menu[],2)</f>
        <v>10</v>
      </c>
      <c r="F16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Y</v>
      </c>
    </row>
    <row r="17" spans="2:6">
      <c r="B17" s="5" t="s">
        <v>1</v>
      </c>
      <c r="C17" s="3">
        <v>44212</v>
      </c>
      <c r="D17" s="4" t="s">
        <v>5</v>
      </c>
      <c r="E17" s="35">
        <f>VLOOKUP(Sales[[#This Row],[Product]],Menu[],2)</f>
        <v>12</v>
      </c>
      <c r="F17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Y</v>
      </c>
    </row>
    <row r="18" spans="2:6">
      <c r="B18" s="5" t="s">
        <v>1</v>
      </c>
      <c r="C18" s="3">
        <v>44228</v>
      </c>
      <c r="D18" s="4" t="s">
        <v>5</v>
      </c>
      <c r="E18" s="35">
        <f>VLOOKUP(Sales[[#This Row],[Product]],Menu[],2)</f>
        <v>12</v>
      </c>
      <c r="F18" s="39" t="str">
        <f>_xlfn.IFNA(IF(VLOOKUP(Sales[[#This Row],[Customer ID]], Members[], 1, FALSE) = Sales[[#This Row],[Customer ID]], IF(Sales[[#This Row],[Order Date]] &gt;= VLOOKUP(Sales[[#This Row],[Customer ID]], Members[], 2, FALSE), "Y", "N"), "N"), "N")</f>
        <v>Y</v>
      </c>
    </row>
  </sheetData>
  <protectedRanges>
    <protectedRange sqref="E1:F1048576" name="Automated Data"/>
  </protectedRange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ADEBCD-C35F-4D5D-A641-060492BFF61C}">
          <x14:formula1>
            <xm:f>Menu!$C$6:$C$8</xm:f>
          </x14:formula1>
          <xm:sqref>D4:D18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FEDD-485C-451D-B152-8F4FC58BCE20}">
  <sheetPr codeName="Sheet3"/>
  <dimension ref="B1:E13"/>
  <sheetViews>
    <sheetView showGridLines="0" zoomScaleNormal="100" workbookViewId="0">
      <selection activeCell="F14" sqref="F14"/>
    </sheetView>
  </sheetViews>
  <sheetFormatPr defaultRowHeight="14.4"/>
  <cols>
    <col min="1" max="1" width="4.77734375" customWidth="1"/>
    <col min="2" max="2" width="5.88671875" customWidth="1"/>
    <col min="3" max="3" width="37.33203125" customWidth="1"/>
    <col min="4" max="4" width="26.44140625" customWidth="1"/>
    <col min="5" max="5" width="6.77734375" customWidth="1"/>
  </cols>
  <sheetData>
    <row r="1" spans="2:5" ht="19.8" customHeight="1" thickBot="1"/>
    <row r="2" spans="2:5" ht="25.8" customHeight="1">
      <c r="B2" s="9"/>
      <c r="C2" s="20"/>
      <c r="D2" s="20"/>
      <c r="E2" s="10"/>
    </row>
    <row r="3" spans="2:5" s="1" customFormat="1" ht="175.8" customHeight="1">
      <c r="B3" s="21"/>
      <c r="D3" s="22" t="s">
        <v>14</v>
      </c>
      <c r="E3" s="23"/>
    </row>
    <row r="4" spans="2:5" ht="10.8" customHeight="1">
      <c r="B4" s="24"/>
      <c r="E4" s="25"/>
    </row>
    <row r="5" spans="2:5" ht="15" thickBot="1">
      <c r="B5" s="24"/>
      <c r="C5" s="19" t="s">
        <v>9</v>
      </c>
      <c r="D5" s="19" t="s">
        <v>8</v>
      </c>
      <c r="E5" s="25"/>
    </row>
    <row r="6" spans="2:5" ht="16.8">
      <c r="B6" s="24"/>
      <c r="C6" s="15" t="s">
        <v>4</v>
      </c>
      <c r="D6" s="16">
        <v>15</v>
      </c>
      <c r="E6" s="25"/>
    </row>
    <row r="7" spans="2:5" ht="16.8">
      <c r="B7" s="24"/>
      <c r="C7" s="15" t="s">
        <v>5</v>
      </c>
      <c r="D7" s="16">
        <v>12</v>
      </c>
      <c r="E7" s="25"/>
    </row>
    <row r="8" spans="2:5" ht="16.8">
      <c r="B8" s="24"/>
      <c r="C8" s="15" t="s">
        <v>3</v>
      </c>
      <c r="D8" s="16">
        <v>10</v>
      </c>
      <c r="E8" s="25"/>
    </row>
    <row r="9" spans="2:5" ht="25.8" customHeight="1" thickBot="1">
      <c r="B9" s="26"/>
      <c r="C9" s="27"/>
      <c r="D9" s="27"/>
      <c r="E9" s="28"/>
    </row>
    <row r="13" spans="2:5">
      <c r="E13" s="2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33E-B24A-4D8C-9237-8827F6B5C318}">
  <sheetPr codeName="Sheet4"/>
  <dimension ref="B1:C6"/>
  <sheetViews>
    <sheetView showGridLines="0" workbookViewId="0">
      <selection activeCell="C11" sqref="C11"/>
    </sheetView>
  </sheetViews>
  <sheetFormatPr defaultRowHeight="14.4"/>
  <cols>
    <col min="1" max="1" width="3.44140625" customWidth="1"/>
    <col min="2" max="2" width="35.44140625" customWidth="1"/>
    <col min="3" max="3" width="42" customWidth="1"/>
  </cols>
  <sheetData>
    <row r="1" spans="2:3" ht="15" thickBot="1"/>
    <row r="2" spans="2:3" ht="85.2" customHeight="1">
      <c r="B2" s="17"/>
      <c r="C2" s="18"/>
    </row>
    <row r="3" spans="2:3" ht="65.400000000000006" customHeight="1" thickBot="1">
      <c r="B3" s="40" t="s">
        <v>13</v>
      </c>
      <c r="C3" s="41"/>
    </row>
    <row r="4" spans="2:3" ht="25.8">
      <c r="B4" s="29" t="s">
        <v>10</v>
      </c>
      <c r="C4" s="29" t="s">
        <v>11</v>
      </c>
    </row>
    <row r="5" spans="2:3" ht="21">
      <c r="B5" s="11" t="s">
        <v>0</v>
      </c>
      <c r="C5" s="12">
        <v>44203</v>
      </c>
    </row>
    <row r="6" spans="2:3" ht="21">
      <c r="B6" s="13" t="s">
        <v>1</v>
      </c>
      <c r="C6" s="14">
        <v>44205</v>
      </c>
    </row>
  </sheetData>
  <mergeCells count="1">
    <mergeCell ref="B3:C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Database</vt:lpstr>
      <vt:lpstr>Menu</vt:lpstr>
      <vt:lpstr>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Yates</dc:creator>
  <cp:lastModifiedBy>Annabel Yates</cp:lastModifiedBy>
  <dcterms:created xsi:type="dcterms:W3CDTF">2026-04-06T18:30:46Z</dcterms:created>
  <dcterms:modified xsi:type="dcterms:W3CDTF">2026-04-07T16:58:00Z</dcterms:modified>
</cp:coreProperties>
</file>